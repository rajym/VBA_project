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tebook\Documents\"/>
    </mc:Choice>
  </mc:AlternateContent>
  <xr:revisionPtr revIDLastSave="0" documentId="13_ncr:1_{2152B98F-D3D9-4E24-BD7E-46079C1FB119}" xr6:coauthVersionLast="47" xr6:coauthVersionMax="47" xr10:uidLastSave="{00000000-0000-0000-0000-000000000000}"/>
  <bookViews>
    <workbookView minimized="1" xWindow="9330" yWindow="150" windowWidth="11070" windowHeight="10215" firstSheet="1" activeTab="2" xr2:uid="{F8C9D941-7B89-47F2-AA2F-06BDFFE040D4}"/>
  </bookViews>
  <sheets>
    <sheet name="Invoice Template" sheetId="1" r:id="rId1"/>
    <sheet name="Customers" sheetId="2" r:id="rId2"/>
    <sheet name="Record of Invoice" sheetId="3" r:id="rId3"/>
  </sheets>
  <definedNames>
    <definedName name="Customer_name">Customer_list[Customer Name]</definedName>
    <definedName name="_xlnm.Print_Area" localSheetId="0">'Invoice Template'!$B$1:$I$43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C5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I17" i="1"/>
  <c r="H17" i="1"/>
  <c r="I34" i="1" l="1"/>
  <c r="I35" i="1"/>
  <c r="I36" i="1" l="1"/>
</calcChain>
</file>

<file path=xl/sharedStrings.xml><?xml version="1.0" encoding="utf-8"?>
<sst xmlns="http://schemas.openxmlformats.org/spreadsheetml/2006/main" count="54" uniqueCount="50">
  <si>
    <t>Ganpati Khad Bhandar</t>
  </si>
  <si>
    <t>Invoice</t>
  </si>
  <si>
    <t>Invoice No.</t>
  </si>
  <si>
    <t>PO. No.</t>
  </si>
  <si>
    <t>Date</t>
  </si>
  <si>
    <t>Terms(Days)</t>
  </si>
  <si>
    <t>Invoice To</t>
  </si>
  <si>
    <t>Description</t>
  </si>
  <si>
    <t>Qty</t>
  </si>
  <si>
    <t>Price</t>
  </si>
  <si>
    <t>VAT</t>
  </si>
  <si>
    <t>Total(Exclud. Vat)</t>
  </si>
  <si>
    <t>Customer Message</t>
  </si>
  <si>
    <t>Subtotal</t>
  </si>
  <si>
    <t>Total</t>
  </si>
  <si>
    <t>Company Details</t>
  </si>
  <si>
    <t>Payment Details</t>
  </si>
  <si>
    <t>VAT no.</t>
  </si>
  <si>
    <t>Company no.</t>
  </si>
  <si>
    <t>Tel. no.</t>
  </si>
  <si>
    <t>Email</t>
  </si>
  <si>
    <t>ACCOUNT no.</t>
  </si>
  <si>
    <t>BANK</t>
  </si>
  <si>
    <t>IFSC Code</t>
  </si>
  <si>
    <t>Other</t>
  </si>
  <si>
    <t xml:space="preserve"> </t>
  </si>
  <si>
    <t>Address 1</t>
  </si>
  <si>
    <t>Address 2</t>
  </si>
  <si>
    <t>Address 3</t>
  </si>
  <si>
    <t>Address 4</t>
  </si>
  <si>
    <t>Contact no.</t>
  </si>
  <si>
    <t>ABC Ltd</t>
  </si>
  <si>
    <t>Gami Tola</t>
  </si>
  <si>
    <t>XYZ Ltd</t>
  </si>
  <si>
    <t>Barihat</t>
  </si>
  <si>
    <t>ymraj27@gmail.com</t>
  </si>
  <si>
    <t>rajy7040@gmail.com</t>
  </si>
  <si>
    <t>Customer Name</t>
  </si>
  <si>
    <t>PQR Ltd</t>
  </si>
  <si>
    <t>ADD 1</t>
  </si>
  <si>
    <t>ADD2</t>
  </si>
  <si>
    <t>ADD3</t>
  </si>
  <si>
    <t>NEAR LAXMI MANDIR</t>
  </si>
  <si>
    <t>K.HAT</t>
  </si>
  <si>
    <t>KHAZANCHI SHAYAK THANA</t>
  </si>
  <si>
    <t>Company</t>
  </si>
  <si>
    <t>Amount</t>
  </si>
  <si>
    <t>Date Issue</t>
  </si>
  <si>
    <t>Due Date</t>
  </si>
  <si>
    <t>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</si>
</sst>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₹&quot;\ #,##0.00;&quot;₹&quot;\ \-#,##0.00"/>
    <numFmt numFmtId="165" formatCode="&quot;₹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20"/>
      <color theme="1"/>
      <name val="Algerian"/>
      <family val="5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/>
    <xf numFmtId="0" fontId="2" fillId="0" borderId="0" xfId="0" applyFont="1" applyAlignment="1"/>
    <xf numFmtId="0" fontId="0" fillId="2" borderId="0" xfId="0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0" xfId="0" applyFont="1" applyFill="1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0" xfId="0" applyAlignment="1">
      <alignment horizontal="left" indent="2"/>
    </xf>
    <xf numFmtId="0" fontId="1" fillId="2" borderId="12" xfId="0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0" xfId="0" applyFill="1"/>
    <xf numFmtId="165" fontId="0" fillId="0" borderId="0" xfId="0" applyNumberFormat="1"/>
    <xf numFmtId="165" fontId="0" fillId="0" borderId="23" xfId="0" applyNumberFormat="1" applyBorder="1"/>
    <xf numFmtId="165" fontId="0" fillId="0" borderId="13" xfId="0" applyNumberFormat="1" applyBorder="1"/>
    <xf numFmtId="165" fontId="0" fillId="0" borderId="14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Alignment="1"/>
    <xf numFmtId="0" fontId="1" fillId="4" borderId="12" xfId="0" applyFont="1" applyFill="1" applyBorder="1"/>
    <xf numFmtId="0" fontId="3" fillId="0" borderId="0" xfId="1"/>
    <xf numFmtId="7" fontId="0" fillId="0" borderId="0" xfId="0" applyNumberFormat="1"/>
    <xf numFmtId="14" fontId="0" fillId="0" borderId="0" xfId="0" applyNumberForma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14" fontId="0" fillId="0" borderId="30" xfId="0" applyNumberForma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201705</xdr:colOff>
      <xdr:row>12</xdr:row>
      <xdr:rowOff>22412</xdr:rowOff>
    </xdr:from>
    <xdr:to>
      <xdr:col>14</xdr:col>
      <xdr:colOff>605116</xdr:colOff>
      <xdr:row>14</xdr:row>
      <xdr:rowOff>179294</xdr:rowOff>
    </xdr:to>
    <xdr:sp macro="[0]!RecordOf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A6DAB2-E37F-848C-BEA9-EADF1C855C84}"/>
            </a:ext>
          </a:extLst>
        </xdr:cNvPr>
        <xdr:cNvSpPr/>
      </xdr:nvSpPr>
      <xdr:spPr>
        <a:xfrm>
          <a:off x="8079440" y="2476500"/>
          <a:ext cx="1613647" cy="537882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Record of Invoice</a:t>
          </a:r>
        </a:p>
      </xdr:txBody>
    </xdr:sp>
    <xdr:clientData/>
  </xdr:twoCellAnchor>
  <xdr:twoCellAnchor>
    <xdr:from>
      <xdr:col>12</xdr:col>
      <xdr:colOff>201705</xdr:colOff>
      <xdr:row>16</xdr:row>
      <xdr:rowOff>183030</xdr:rowOff>
    </xdr:from>
    <xdr:to>
      <xdr:col>14</xdr:col>
      <xdr:colOff>605116</xdr:colOff>
      <xdr:row>19</xdr:row>
      <xdr:rowOff>149412</xdr:rowOff>
    </xdr:to>
    <xdr:sp macro="[0]!SaveAsExc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E1DD14-055B-E91F-92B9-8812BCC50E9C}"/>
            </a:ext>
          </a:extLst>
        </xdr:cNvPr>
        <xdr:cNvSpPr/>
      </xdr:nvSpPr>
      <xdr:spPr>
        <a:xfrm>
          <a:off x="8079440" y="3399118"/>
          <a:ext cx="1613647" cy="537882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Save</a:t>
          </a:r>
          <a:r>
            <a:rPr lang="en-IN" sz="1600" baseline="0"/>
            <a:t> as Excel</a:t>
          </a:r>
          <a:endParaRPr lang="en-IN" sz="1600"/>
        </a:p>
      </xdr:txBody>
    </xdr:sp>
    <xdr:clientData/>
  </xdr:twoCellAnchor>
  <xdr:twoCellAnchor>
    <xdr:from>
      <xdr:col>12</xdr:col>
      <xdr:colOff>201705</xdr:colOff>
      <xdr:row>21</xdr:row>
      <xdr:rowOff>153148</xdr:rowOff>
    </xdr:from>
    <xdr:to>
      <xdr:col>14</xdr:col>
      <xdr:colOff>605116</xdr:colOff>
      <xdr:row>24</xdr:row>
      <xdr:rowOff>119530</xdr:rowOff>
    </xdr:to>
    <xdr:sp macro="[0]!Saveas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3C6E66F-6B83-4D67-B842-0BB8950D9D0A}"/>
            </a:ext>
          </a:extLst>
        </xdr:cNvPr>
        <xdr:cNvSpPr/>
      </xdr:nvSpPr>
      <xdr:spPr>
        <a:xfrm>
          <a:off x="8079440" y="4321736"/>
          <a:ext cx="1613647" cy="537882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Save</a:t>
          </a:r>
          <a:r>
            <a:rPr lang="en-IN" sz="1600" baseline="0"/>
            <a:t> as PDF</a:t>
          </a:r>
          <a:endParaRPr lang="en-IN" sz="1600"/>
        </a:p>
      </xdr:txBody>
    </xdr:sp>
    <xdr:clientData/>
  </xdr:twoCellAnchor>
  <xdr:twoCellAnchor>
    <xdr:from>
      <xdr:col>12</xdr:col>
      <xdr:colOff>201705</xdr:colOff>
      <xdr:row>26</xdr:row>
      <xdr:rowOff>123265</xdr:rowOff>
    </xdr:from>
    <xdr:to>
      <xdr:col>14</xdr:col>
      <xdr:colOff>605116</xdr:colOff>
      <xdr:row>29</xdr:row>
      <xdr:rowOff>89647</xdr:rowOff>
    </xdr:to>
    <xdr:sp macro="[0]!NewInvoic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AE90B99-DC44-4E59-ACB1-BEAC205A8FDD}"/>
            </a:ext>
          </a:extLst>
        </xdr:cNvPr>
        <xdr:cNvSpPr/>
      </xdr:nvSpPr>
      <xdr:spPr>
        <a:xfrm>
          <a:off x="8079440" y="5244353"/>
          <a:ext cx="1613647" cy="537882"/>
        </a:xfrm>
        <a:prstGeom prst="roundRect">
          <a:avLst>
            <a:gd name="adj" fmla="val 50000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New Invoice</a:t>
          </a:r>
        </a:p>
        <a:p>
          <a:pPr algn="ctr"/>
          <a:endParaRPr lang="en-IN" sz="1600"/>
        </a:p>
      </xdr:txBody>
    </xdr:sp>
    <xdr:clientData/>
  </xdr:twoCellAnchor>
  <xdr:twoCellAnchor>
    <xdr:from>
      <xdr:col>11</xdr:col>
      <xdr:colOff>381000</xdr:colOff>
      <xdr:row>5</xdr:row>
      <xdr:rowOff>156883</xdr:rowOff>
    </xdr:from>
    <xdr:to>
      <xdr:col>15</xdr:col>
      <xdr:colOff>381001</xdr:colOff>
      <xdr:row>9</xdr:row>
      <xdr:rowOff>67236</xdr:rowOff>
    </xdr:to>
    <xdr:sp macro="[0]!NextCustom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0C6810B-1590-6118-F056-DC4AEA48C7A9}"/>
            </a:ext>
          </a:extLst>
        </xdr:cNvPr>
        <xdr:cNvSpPr/>
      </xdr:nvSpPr>
      <xdr:spPr>
        <a:xfrm>
          <a:off x="7832912" y="1277471"/>
          <a:ext cx="2420471" cy="672353"/>
        </a:xfrm>
        <a:prstGeom prst="roundRect">
          <a:avLst>
            <a:gd name="adj" fmla="val 50000"/>
          </a:avLst>
        </a:prstGeom>
        <a:solidFill>
          <a:schemeClr val="accent6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/>
            <a:t>Next</a:t>
          </a:r>
          <a:r>
            <a:rPr lang="en-IN" sz="2000" baseline="0"/>
            <a:t> Customer</a:t>
          </a:r>
          <a:endParaRPr lang="en-IN" sz="2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2C55F2-8CA9-401D-9600-E9935D176D3F}" name="Customer_list" displayName="Customer_list" ref="A1:G4" totalsRowShown="0">
  <autoFilter ref="A1:G4" xr:uid="{432C55F2-8CA9-401D-9600-E9935D176D3F}"/>
  <tableColumns count="7">
    <tableColumn id="1" xr3:uid="{A36943A9-1CAA-45BF-995A-3575652ADB11}" name="Customer Name"/>
    <tableColumn id="2" xr3:uid="{64CE8BC3-4AFA-4FB2-9E80-5C03190E69E2}" name="Address 1"/>
    <tableColumn id="3" xr3:uid="{B59A7AE8-EE89-4651-88CA-00F82AF20F93}" name="Address 2"/>
    <tableColumn id="4" xr3:uid="{9548E363-8D41-4D8F-A008-1799BC7DE7B9}" name="Address 3"/>
    <tableColumn id="5" xr3:uid="{4867C201-3011-4A24-87F1-9EFE71F51002}" name="Address 4"/>
    <tableColumn id="6" xr3:uid="{28C3DCE9-FE0E-4A37-B4E8-9866F39DF72A}" name="Contact no."/>
    <tableColumn id="7" xr3:uid="{7F6E7F9C-E51E-4482-8458-41D72DF8BD77}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rajy7040@gmail.com" TargetMode="External"/><Relationship Id="rId1" Type="http://schemas.openxmlformats.org/officeDocument/2006/relationships/hyperlink" Target="mailto:ymraj2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9B9A4-CDA8-4948-97D8-FC6B83BCB102}">
  <sheetPr codeName="Sheet1"/>
  <dimension ref="A1:M43"/>
  <sheetViews>
    <sheetView zoomScale="85" zoomScaleNormal="85" workbookViewId="0">
      <selection activeCell="L13" sqref="L13"/>
    </sheetView>
  </sheetViews>
  <sheetFormatPr defaultRowHeight="15" x14ac:dyDescent="0.25"/>
  <cols>
    <col min="1" max="1" width="2.7109375" customWidth="1"/>
    <col min="2" max="2" width="12.5703125" customWidth="1"/>
    <col min="3" max="3" width="9.28515625" customWidth="1"/>
    <col min="8" max="8" width="8.5703125" customWidth="1"/>
    <col min="9" max="10" width="16.7109375" bestFit="1" customWidth="1"/>
  </cols>
  <sheetData>
    <row r="1" spans="1:13" ht="28.5" x14ac:dyDescent="0.45">
      <c r="A1" t="s">
        <v>25</v>
      </c>
      <c r="B1" s="2" t="s">
        <v>0</v>
      </c>
      <c r="C1" s="2"/>
      <c r="D1" s="2"/>
      <c r="E1" s="2"/>
      <c r="F1" s="2"/>
      <c r="G1" s="2"/>
      <c r="H1" s="2" t="s">
        <v>1</v>
      </c>
      <c r="I1" s="2"/>
      <c r="J1" s="1"/>
      <c r="K1" s="1"/>
      <c r="L1" s="1"/>
      <c r="M1" s="1"/>
    </row>
    <row r="3" spans="1:13" x14ac:dyDescent="0.25">
      <c r="B3" s="4" t="s">
        <v>2</v>
      </c>
      <c r="C3" s="54">
        <v>1005</v>
      </c>
      <c r="D3" s="55"/>
      <c r="E3" s="56"/>
      <c r="G3" s="23"/>
      <c r="H3" s="24"/>
      <c r="I3" s="25"/>
    </row>
    <row r="4" spans="1:13" x14ac:dyDescent="0.25">
      <c r="B4" s="5" t="s">
        <v>3</v>
      </c>
      <c r="C4" s="48"/>
      <c r="D4" s="49"/>
      <c r="E4" s="50"/>
      <c r="G4" s="26"/>
      <c r="H4" s="27"/>
      <c r="I4" s="28"/>
    </row>
    <row r="5" spans="1:13" x14ac:dyDescent="0.25">
      <c r="B5" s="5" t="s">
        <v>4</v>
      </c>
      <c r="C5" s="51">
        <f ca="1">TODAY()</f>
        <v>45560</v>
      </c>
      <c r="D5" s="52"/>
      <c r="E5" s="53"/>
      <c r="G5" s="26"/>
      <c r="H5" s="27"/>
      <c r="I5" s="28"/>
    </row>
    <row r="6" spans="1:13" x14ac:dyDescent="0.25">
      <c r="B6" s="6" t="s">
        <v>5</v>
      </c>
      <c r="C6" s="45"/>
      <c r="D6" s="46"/>
      <c r="E6" s="47"/>
      <c r="G6" s="26"/>
      <c r="H6" s="27"/>
      <c r="I6" s="28"/>
    </row>
    <row r="7" spans="1:13" x14ac:dyDescent="0.25">
      <c r="G7" s="29"/>
      <c r="H7" s="30"/>
      <c r="I7" s="31"/>
    </row>
    <row r="8" spans="1:13" x14ac:dyDescent="0.25">
      <c r="B8" s="7" t="s">
        <v>6</v>
      </c>
    </row>
    <row r="9" spans="1:13" x14ac:dyDescent="0.25">
      <c r="B9" s="8"/>
      <c r="C9" s="24"/>
      <c r="D9" s="24"/>
      <c r="E9" s="9"/>
    </row>
    <row r="10" spans="1:13" x14ac:dyDescent="0.25">
      <c r="B10" s="10" t="str">
        <f>IFERROR(VLOOKUP($B$9,Customer_list[#All],2,0),"")</f>
        <v/>
      </c>
      <c r="C10" s="27"/>
      <c r="D10" s="27"/>
      <c r="E10" s="11"/>
    </row>
    <row r="11" spans="1:13" x14ac:dyDescent="0.25">
      <c r="B11" s="10" t="str">
        <f>IFERROR(VLOOKUP($B$9,Customer_list[#All],3,0),"")</f>
        <v/>
      </c>
      <c r="C11" s="27"/>
      <c r="D11" s="27"/>
      <c r="E11" s="11"/>
    </row>
    <row r="12" spans="1:13" x14ac:dyDescent="0.25">
      <c r="B12" s="10" t="str">
        <f>IFERROR(VLOOKUP($B$9,Customer_list[#All],4,0),"")</f>
        <v/>
      </c>
      <c r="C12" s="27"/>
      <c r="D12" s="27"/>
      <c r="E12" s="11"/>
    </row>
    <row r="13" spans="1:13" x14ac:dyDescent="0.25">
      <c r="B13" s="10" t="str">
        <f>IFERROR(VLOOKUP($B$9,Customer_list[#All],5,0),"")</f>
        <v/>
      </c>
      <c r="C13" s="27"/>
      <c r="D13" s="27"/>
      <c r="E13" s="11"/>
    </row>
    <row r="14" spans="1:13" x14ac:dyDescent="0.25">
      <c r="B14" s="10" t="str">
        <f>IFERROR(VLOOKUP($B$9,Customer_list[#All],6,0),"")</f>
        <v/>
      </c>
      <c r="C14" s="30"/>
      <c r="D14" s="30"/>
      <c r="E14" s="12"/>
    </row>
    <row r="15" spans="1:13" x14ac:dyDescent="0.25">
      <c r="K15" s="13" t="s">
        <v>25</v>
      </c>
    </row>
    <row r="16" spans="1:13" x14ac:dyDescent="0.25">
      <c r="B16" s="14" t="s">
        <v>7</v>
      </c>
      <c r="C16" s="15"/>
      <c r="D16" s="15"/>
      <c r="E16" s="15"/>
      <c r="F16" s="14" t="s">
        <v>8</v>
      </c>
      <c r="G16" s="14" t="s">
        <v>9</v>
      </c>
      <c r="H16" s="14" t="s">
        <v>10</v>
      </c>
      <c r="I16" s="14" t="s">
        <v>11</v>
      </c>
    </row>
    <row r="17" spans="2:9" x14ac:dyDescent="0.25">
      <c r="B17" s="16"/>
      <c r="C17" s="16"/>
      <c r="D17" s="16"/>
      <c r="E17" s="16"/>
      <c r="F17" s="16"/>
      <c r="G17" s="21"/>
      <c r="H17" s="21" t="str">
        <f>IF(F17&lt;&gt;"",G17*20%,"")</f>
        <v/>
      </c>
      <c r="I17" s="21" t="str">
        <f>IF(F17&lt;&gt;"",F17*G17,"")</f>
        <v/>
      </c>
    </row>
    <row r="18" spans="2:9" x14ac:dyDescent="0.25">
      <c r="B18" s="16"/>
      <c r="C18" s="16"/>
      <c r="D18" s="16"/>
      <c r="E18" s="16"/>
      <c r="F18" s="16"/>
      <c r="G18" s="21"/>
      <c r="H18" s="21" t="str">
        <f t="shared" ref="H18:H31" si="0">IF(F18&lt;&gt;"",G18*20%,"")</f>
        <v/>
      </c>
      <c r="I18" s="21" t="str">
        <f t="shared" ref="I18:I31" si="1">IF(F18&lt;&gt;"",F18*G18,"")</f>
        <v/>
      </c>
    </row>
    <row r="19" spans="2:9" x14ac:dyDescent="0.25">
      <c r="B19" s="16"/>
      <c r="C19" s="16"/>
      <c r="D19" s="16"/>
      <c r="E19" s="16"/>
      <c r="F19" s="16"/>
      <c r="G19" s="21"/>
      <c r="H19" s="21" t="str">
        <f t="shared" si="0"/>
        <v/>
      </c>
      <c r="I19" s="21" t="str">
        <f t="shared" si="1"/>
        <v/>
      </c>
    </row>
    <row r="20" spans="2:9" x14ac:dyDescent="0.25">
      <c r="B20" s="16"/>
      <c r="C20" s="16"/>
      <c r="D20" s="16"/>
      <c r="E20" s="16"/>
      <c r="F20" s="16"/>
      <c r="G20" s="21"/>
      <c r="H20" s="21" t="str">
        <f t="shared" si="0"/>
        <v/>
      </c>
      <c r="I20" s="21" t="str">
        <f t="shared" si="1"/>
        <v/>
      </c>
    </row>
    <row r="21" spans="2:9" x14ac:dyDescent="0.25">
      <c r="B21" s="16"/>
      <c r="C21" s="16"/>
      <c r="D21" s="16"/>
      <c r="E21" s="16"/>
      <c r="F21" s="16"/>
      <c r="G21" s="21"/>
      <c r="H21" s="21" t="str">
        <f t="shared" si="0"/>
        <v/>
      </c>
      <c r="I21" s="21" t="str">
        <f t="shared" si="1"/>
        <v/>
      </c>
    </row>
    <row r="22" spans="2:9" x14ac:dyDescent="0.25">
      <c r="B22" s="16"/>
      <c r="C22" s="16"/>
      <c r="D22" s="16"/>
      <c r="E22" s="16"/>
      <c r="F22" s="16"/>
      <c r="G22" s="21"/>
      <c r="H22" s="21" t="str">
        <f t="shared" si="0"/>
        <v/>
      </c>
      <c r="I22" s="21" t="str">
        <f t="shared" si="1"/>
        <v/>
      </c>
    </row>
    <row r="23" spans="2:9" x14ac:dyDescent="0.25">
      <c r="B23" s="16"/>
      <c r="C23" s="16"/>
      <c r="D23" s="16"/>
      <c r="E23" s="16"/>
      <c r="F23" s="16"/>
      <c r="G23" s="21"/>
      <c r="H23" s="21" t="str">
        <f t="shared" si="0"/>
        <v/>
      </c>
      <c r="I23" s="21" t="str">
        <f t="shared" si="1"/>
        <v/>
      </c>
    </row>
    <row r="24" spans="2:9" x14ac:dyDescent="0.25">
      <c r="B24" s="16"/>
      <c r="C24" s="16"/>
      <c r="D24" s="16"/>
      <c r="E24" s="16"/>
      <c r="F24" s="16"/>
      <c r="G24" s="21"/>
      <c r="H24" s="21" t="str">
        <f t="shared" si="0"/>
        <v/>
      </c>
      <c r="I24" s="21" t="str">
        <f t="shared" si="1"/>
        <v/>
      </c>
    </row>
    <row r="25" spans="2:9" x14ac:dyDescent="0.25">
      <c r="B25" s="16"/>
      <c r="C25" s="16"/>
      <c r="D25" s="16"/>
      <c r="E25" s="16"/>
      <c r="F25" s="16"/>
      <c r="G25" s="21"/>
      <c r="H25" s="21" t="str">
        <f t="shared" si="0"/>
        <v/>
      </c>
      <c r="I25" s="21" t="str">
        <f t="shared" si="1"/>
        <v/>
      </c>
    </row>
    <row r="26" spans="2:9" x14ac:dyDescent="0.25">
      <c r="B26" s="16"/>
      <c r="C26" s="16"/>
      <c r="D26" s="16"/>
      <c r="E26" s="16"/>
      <c r="F26" s="16"/>
      <c r="G26" s="21"/>
      <c r="H26" s="21" t="str">
        <f t="shared" si="0"/>
        <v/>
      </c>
      <c r="I26" s="21" t="str">
        <f t="shared" si="1"/>
        <v/>
      </c>
    </row>
    <row r="27" spans="2:9" x14ac:dyDescent="0.25">
      <c r="B27" s="16"/>
      <c r="C27" s="16"/>
      <c r="D27" s="16"/>
      <c r="E27" s="16"/>
      <c r="F27" s="16"/>
      <c r="G27" s="21"/>
      <c r="H27" s="21" t="str">
        <f t="shared" si="0"/>
        <v/>
      </c>
      <c r="I27" s="21" t="str">
        <f t="shared" si="1"/>
        <v/>
      </c>
    </row>
    <row r="28" spans="2:9" x14ac:dyDescent="0.25">
      <c r="B28" s="16"/>
      <c r="C28" s="16"/>
      <c r="D28" s="16"/>
      <c r="E28" s="16"/>
      <c r="F28" s="16"/>
      <c r="G28" s="21"/>
      <c r="H28" s="21" t="str">
        <f t="shared" si="0"/>
        <v/>
      </c>
      <c r="I28" s="21" t="str">
        <f t="shared" si="1"/>
        <v/>
      </c>
    </row>
    <row r="29" spans="2:9" x14ac:dyDescent="0.25">
      <c r="B29" s="16"/>
      <c r="C29" s="16"/>
      <c r="D29" s="16"/>
      <c r="E29" s="16"/>
      <c r="F29" s="16"/>
      <c r="G29" s="21"/>
      <c r="H29" s="21" t="str">
        <f t="shared" si="0"/>
        <v/>
      </c>
      <c r="I29" s="21" t="str">
        <f t="shared" si="1"/>
        <v/>
      </c>
    </row>
    <row r="30" spans="2:9" x14ac:dyDescent="0.25">
      <c r="B30" s="16"/>
      <c r="C30" s="16"/>
      <c r="D30" s="16"/>
      <c r="E30" s="16"/>
      <c r="F30" s="16"/>
      <c r="G30" s="21"/>
      <c r="H30" s="21" t="str">
        <f t="shared" si="0"/>
        <v/>
      </c>
      <c r="I30" s="21" t="str">
        <f t="shared" si="1"/>
        <v/>
      </c>
    </row>
    <row r="31" spans="2:9" x14ac:dyDescent="0.25">
      <c r="B31" s="17"/>
      <c r="C31" s="17"/>
      <c r="D31" s="17"/>
      <c r="E31" s="17"/>
      <c r="F31" s="17"/>
      <c r="G31" s="22"/>
      <c r="H31" s="21" t="str">
        <f t="shared" si="0"/>
        <v/>
      </c>
      <c r="I31" s="21" t="str">
        <f t="shared" si="1"/>
        <v/>
      </c>
    </row>
    <row r="33" spans="2:10" ht="15.75" thickBot="1" x14ac:dyDescent="0.3">
      <c r="B33" t="s">
        <v>12</v>
      </c>
      <c r="G33" s="18"/>
      <c r="H33" s="18"/>
      <c r="I33" s="18"/>
    </row>
    <row r="34" spans="2:10" ht="15.75" thickTop="1" x14ac:dyDescent="0.25">
      <c r="B34" s="32"/>
      <c r="C34" s="33"/>
      <c r="D34" s="34"/>
      <c r="G34" s="40" t="s">
        <v>13</v>
      </c>
      <c r="H34" s="40"/>
      <c r="I34" s="19">
        <f>SUM(I17:I31)</f>
        <v>0</v>
      </c>
    </row>
    <row r="35" spans="2:10" x14ac:dyDescent="0.25">
      <c r="B35" s="35"/>
      <c r="C35" s="27"/>
      <c r="D35" s="36"/>
      <c r="G35" t="s">
        <v>10</v>
      </c>
      <c r="I35" s="19">
        <f>SUM(H17:H31)</f>
        <v>0</v>
      </c>
    </row>
    <row r="36" spans="2:10" ht="15.75" thickBot="1" x14ac:dyDescent="0.3">
      <c r="B36" s="35"/>
      <c r="C36" s="27"/>
      <c r="D36" s="36"/>
      <c r="G36" t="s">
        <v>14</v>
      </c>
      <c r="I36" s="20">
        <f>SUM(I34:I35)</f>
        <v>0</v>
      </c>
    </row>
    <row r="37" spans="2:10" ht="15.75" thickTop="1" x14ac:dyDescent="0.25">
      <c r="B37" s="37"/>
      <c r="C37" s="38"/>
      <c r="D37" s="39"/>
    </row>
    <row r="39" spans="2:10" x14ac:dyDescent="0.25">
      <c r="B39" s="14" t="s">
        <v>15</v>
      </c>
      <c r="C39" s="14"/>
      <c r="D39" s="14"/>
      <c r="E39" s="14"/>
      <c r="F39" s="14"/>
      <c r="G39" s="14" t="s">
        <v>16</v>
      </c>
      <c r="H39" s="14"/>
      <c r="I39" s="3"/>
      <c r="J39" s="41"/>
    </row>
    <row r="40" spans="2:10" x14ac:dyDescent="0.25">
      <c r="B40" t="s">
        <v>18</v>
      </c>
      <c r="G40" t="s">
        <v>21</v>
      </c>
    </row>
    <row r="41" spans="2:10" x14ac:dyDescent="0.25">
      <c r="B41" t="s">
        <v>17</v>
      </c>
      <c r="G41" t="s">
        <v>22</v>
      </c>
    </row>
    <row r="42" spans="2:10" x14ac:dyDescent="0.25">
      <c r="B42" t="s">
        <v>19</v>
      </c>
      <c r="G42" t="s">
        <v>23</v>
      </c>
    </row>
    <row r="43" spans="2:10" x14ac:dyDescent="0.25">
      <c r="B43" t="s">
        <v>20</v>
      </c>
      <c r="G43" t="s">
        <v>24</v>
      </c>
    </row>
  </sheetData>
  <mergeCells count="12">
    <mergeCell ref="C9:D9"/>
    <mergeCell ref="C10:D10"/>
    <mergeCell ref="C11:D11"/>
    <mergeCell ref="C12:D12"/>
    <mergeCell ref="C13:D13"/>
    <mergeCell ref="C14:D14"/>
    <mergeCell ref="G3:I7"/>
    <mergeCell ref="C5:E5"/>
    <mergeCell ref="B34:D37"/>
    <mergeCell ref="C3:E3"/>
    <mergeCell ref="B1:G1"/>
    <mergeCell ref="H1:I1"/>
  </mergeCells>
  <dataValidations count="2">
    <dataValidation type="list" allowBlank="1" showInputMessage="1" showErrorMessage="1" sqref="B9" xr:uid="{5826E8BE-E324-4808-BB06-D3FDCE2DDFEB}">
      <formula1>Customer_name</formula1>
    </dataValidation>
    <dataValidation type="list" allowBlank="1" showInputMessage="1" showErrorMessage="1" sqref="C6:E6" xr:uid="{E552C60C-F329-4D6E-9350-4707699DCC04}">
      <formula1>"15,30,45,60"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FD753-4020-494C-8756-BFF101F64834}">
  <sheetPr codeName="Sheet2"/>
  <dimension ref="A1:G4"/>
  <sheetViews>
    <sheetView workbookViewId="0">
      <selection activeCell="F9" sqref="F9"/>
    </sheetView>
  </sheetViews>
  <sheetFormatPr defaultRowHeight="15" x14ac:dyDescent="0.25"/>
  <cols>
    <col min="1" max="1" width="15.28515625" customWidth="1"/>
    <col min="2" max="2" width="11.85546875" customWidth="1"/>
    <col min="3" max="3" width="20" bestFit="1" customWidth="1"/>
    <col min="4" max="4" width="13.85546875" customWidth="1"/>
    <col min="5" max="5" width="26.140625" bestFit="1" customWidth="1"/>
    <col min="6" max="6" width="13.140625" customWidth="1"/>
    <col min="7" max="7" width="20.7109375" customWidth="1"/>
  </cols>
  <sheetData>
    <row r="1" spans="1:7" x14ac:dyDescent="0.25">
      <c r="A1" t="s">
        <v>37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20</v>
      </c>
    </row>
    <row r="2" spans="1:7" x14ac:dyDescent="0.25">
      <c r="A2" t="s">
        <v>31</v>
      </c>
      <c r="B2" t="s">
        <v>32</v>
      </c>
      <c r="C2" t="s">
        <v>39</v>
      </c>
      <c r="D2" t="s">
        <v>40</v>
      </c>
      <c r="E2" t="s">
        <v>41</v>
      </c>
      <c r="F2">
        <v>9431666230</v>
      </c>
      <c r="G2" s="42" t="s">
        <v>35</v>
      </c>
    </row>
    <row r="3" spans="1:7" x14ac:dyDescent="0.25">
      <c r="A3" t="s">
        <v>33</v>
      </c>
      <c r="B3" t="s">
        <v>34</v>
      </c>
      <c r="C3" t="s">
        <v>42</v>
      </c>
      <c r="D3" t="s">
        <v>43</v>
      </c>
      <c r="E3" t="s">
        <v>44</v>
      </c>
      <c r="F3">
        <v>7779820434</v>
      </c>
      <c r="G3" s="42" t="s">
        <v>36</v>
      </c>
    </row>
    <row r="4" spans="1:7" x14ac:dyDescent="0.25">
      <c r="A4" t="s">
        <v>38</v>
      </c>
      <c r="G4" s="42"/>
    </row>
  </sheetData>
  <hyperlinks>
    <hyperlink ref="G2" r:id="rId1" xr:uid="{326B2B74-D578-4DB3-83C4-E2731931ADA2}"/>
    <hyperlink ref="G3" r:id="rId2" xr:uid="{986D692A-817D-40A4-98A3-E6D86058A4FA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9734-C976-4B4C-8E26-1E595325AE31}">
  <sheetPr codeName="Sheet3"/>
  <dimension ref="A1:F3"/>
  <sheetViews>
    <sheetView tabSelected="1" workbookViewId="0">
      <selection activeCell="A2" sqref="A2:E3"/>
    </sheetView>
  </sheetViews>
  <sheetFormatPr defaultRowHeight="15" x14ac:dyDescent="0.25"/>
  <cols>
    <col min="1" max="6" width="15.140625" customWidth="1"/>
  </cols>
  <sheetData>
    <row r="1" spans="1:6" x14ac:dyDescent="0.25">
      <c r="A1" t="s">
        <v>2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</row>
    <row r="2" spans="1:6" x14ac:dyDescent="0.25">
      <c r="A2">
        <v>1004</v>
      </c>
      <c r="C2" s="43">
        <v>0</v>
      </c>
      <c r="D2" s="44">
        <v>45560</v>
      </c>
      <c r="E2" s="44">
        <v>45560</v>
      </c>
    </row>
    <row r="3" spans="1:6" x14ac:dyDescent="0.25">
      <c r="C3" s="43"/>
      <c r="D3" s="44"/>
      <c r="E3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</vt:lpstr>
      <vt:lpstr>Customer_name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Elitebook</dc:creator>
  <cp:lastModifiedBy>Elitebook</cp:lastModifiedBy>
  <cp:lastPrinted>2024-09-26T04:26:20Z</cp:lastPrinted>
  <dcterms:created xsi:type="dcterms:W3CDTF">2024-09-25T03:30:17Z</dcterms:created>
  <dcterms:modified xsi:type="dcterms:W3CDTF">2024-09-26T04:27:01Z</dcterms:modified>
</cp:coreProperties>
</file>